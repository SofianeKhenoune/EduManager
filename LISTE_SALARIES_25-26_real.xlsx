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AMA\GRH\CONTRATS\2025-2026\"/>
    </mc:Choice>
  </mc:AlternateContent>
  <xr:revisionPtr revIDLastSave="0" documentId="13_ncr:1_{259A427B-9A9D-434C-8BE9-2FC56255DAAC}" xr6:coauthVersionLast="47" xr6:coauthVersionMax="47" xr10:uidLastSave="{00000000-0000-0000-0000-000000000000}"/>
  <bookViews>
    <workbookView xWindow="-28920" yWindow="-120" windowWidth="29040" windowHeight="15720" xr2:uid="{2F54CEA9-0560-4C6B-A9D6-F6EA31ECBBBD}"/>
  </bookViews>
  <sheets>
    <sheet name="DPAE" sheetId="1" r:id="rId1"/>
  </sheets>
  <externalReferences>
    <externalReference r:id="rId2"/>
  </externalReferences>
  <definedNames>
    <definedName name="NbrSemaines">'[1]calcul-volume-horaire'!$B$21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C31" i="1"/>
</calcChain>
</file>

<file path=xl/sharedStrings.xml><?xml version="1.0" encoding="utf-8"?>
<sst xmlns="http://schemas.openxmlformats.org/spreadsheetml/2006/main" count="146" uniqueCount="100">
  <si>
    <t>Civilité</t>
  </si>
  <si>
    <t>Nom</t>
  </si>
  <si>
    <t>Nom de naissance</t>
  </si>
  <si>
    <t>Prénom</t>
  </si>
  <si>
    <t>Adresse</t>
  </si>
  <si>
    <t>CP</t>
  </si>
  <si>
    <t>Ville</t>
  </si>
  <si>
    <t>Date de naissance</t>
  </si>
  <si>
    <t>Ville et Pays de naissance</t>
  </si>
  <si>
    <t>Nationalité</t>
  </si>
  <si>
    <t>N° de SS</t>
  </si>
  <si>
    <t>TYPE DE CONTRAT</t>
  </si>
  <si>
    <t>Embauche</t>
  </si>
  <si>
    <t>Periode d'Essai</t>
  </si>
  <si>
    <t>Fin de contrat</t>
  </si>
  <si>
    <t>Durée contrat</t>
  </si>
  <si>
    <t>Poste</t>
  </si>
  <si>
    <t>Niveau</t>
  </si>
  <si>
    <t>Indice</t>
  </si>
  <si>
    <t>Nb h/semaine</t>
  </si>
  <si>
    <t>Nb h/mois</t>
  </si>
  <si>
    <t>Salaire horaire</t>
  </si>
  <si>
    <t>Salaire mensuel Brut</t>
  </si>
  <si>
    <t>Navigo</t>
  </si>
  <si>
    <t>Taux
PAS</t>
  </si>
  <si>
    <t>Madame</t>
  </si>
  <si>
    <t>Aoufi</t>
  </si>
  <si>
    <t>LASGA</t>
  </si>
  <si>
    <t>Nadjoua</t>
  </si>
  <si>
    <t>44 Bd Félix Faure</t>
  </si>
  <si>
    <t>Aubervilliers</t>
  </si>
  <si>
    <t>M'sila Algérie</t>
  </si>
  <si>
    <t>Française</t>
  </si>
  <si>
    <t>281079935273025</t>
  </si>
  <si>
    <t>CDD</t>
  </si>
  <si>
    <t>Directrice</t>
  </si>
  <si>
    <t>E</t>
  </si>
  <si>
    <t>non</t>
  </si>
  <si>
    <t>Eisa</t>
  </si>
  <si>
    <t>HAIF</t>
  </si>
  <si>
    <t>Nadia</t>
  </si>
  <si>
    <t>76 Bd Felix Faure</t>
  </si>
  <si>
    <t>Biskra Algérie</t>
  </si>
  <si>
    <t>Algérienne</t>
  </si>
  <si>
    <t>268099935276874</t>
  </si>
  <si>
    <t>Professeure</t>
  </si>
  <si>
    <t>Hamrouni</t>
  </si>
  <si>
    <t>SOUISSI</t>
  </si>
  <si>
    <t>Sana</t>
  </si>
  <si>
    <t>34 Rue du Goulet</t>
  </si>
  <si>
    <t>Djerba Tunisie</t>
  </si>
  <si>
    <t>Tunisienne</t>
  </si>
  <si>
    <t>287019935110202</t>
  </si>
  <si>
    <t>Makhlouk</t>
  </si>
  <si>
    <t>NAOUI</t>
  </si>
  <si>
    <t>Hasna</t>
  </si>
  <si>
    <t>3 Rue Réchossiére</t>
  </si>
  <si>
    <t>Casablanca Maroc</t>
  </si>
  <si>
    <t>284069935052035</t>
  </si>
  <si>
    <t>Slimani</t>
  </si>
  <si>
    <t>NIMOUR</t>
  </si>
  <si>
    <t>Fatima Zohra</t>
  </si>
  <si>
    <t>3 Allée Glenn</t>
  </si>
  <si>
    <t>Drancy</t>
  </si>
  <si>
    <t>Oran Algérie</t>
  </si>
  <si>
    <t>273109935271493</t>
  </si>
  <si>
    <t xml:space="preserve">Madame </t>
  </si>
  <si>
    <t>Dahoum</t>
  </si>
  <si>
    <t>DEHOUM</t>
  </si>
  <si>
    <t>Samah</t>
  </si>
  <si>
    <t>Chellal, Algérie</t>
  </si>
  <si>
    <t>276209935204992</t>
  </si>
  <si>
    <t>Ghomari</t>
  </si>
  <si>
    <t>JALAL</t>
  </si>
  <si>
    <t>Hafida</t>
  </si>
  <si>
    <t>162 Rue des cités</t>
  </si>
  <si>
    <t>Beni Oulichek Maroc</t>
  </si>
  <si>
    <t>Marocaine</t>
  </si>
  <si>
    <t>276119935059049</t>
  </si>
  <si>
    <t>Akhnouche</t>
  </si>
  <si>
    <t>BOUAZIZ</t>
  </si>
  <si>
    <t>Karima</t>
  </si>
  <si>
    <t>6 Rue Louis Aragon</t>
  </si>
  <si>
    <t>Mchedallah, Algérie</t>
  </si>
  <si>
    <t>279089935305508</t>
  </si>
  <si>
    <t>Krissaane</t>
  </si>
  <si>
    <t>ZRIR</t>
  </si>
  <si>
    <t>Fethia</t>
  </si>
  <si>
    <t>30 Rue Denis Papin</t>
  </si>
  <si>
    <t>Pantin</t>
  </si>
  <si>
    <t>Tataouine, Tunisie</t>
  </si>
  <si>
    <t>274019935120551</t>
  </si>
  <si>
    <t>Monsieur</t>
  </si>
  <si>
    <t>Khenoune</t>
  </si>
  <si>
    <t>Sofiane</t>
  </si>
  <si>
    <t>10 Rue Bordier</t>
  </si>
  <si>
    <t>Akbou, Algérie</t>
  </si>
  <si>
    <t>Responsable administratif</t>
  </si>
  <si>
    <t>C</t>
  </si>
  <si>
    <t>Matricule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</si>
</sst>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0.0000"/>
    <numFmt numFmtId="167" formatCode="00000"/>
  </numFmts>
  <fonts count="3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D7D31"/>
        <bgColor rgb="FFE89176"/>
      </patternFill>
    </fill>
    <fill>
      <patternFill patternType="solid">
        <fgColor rgb="FFFFFFFF"/>
        <bgColor rgb="FFF6F9D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4" fontId="2" fillId="0" borderId="0" xfId="0" applyNumberFormat="1" applyFont="1"/>
    <xf numFmtId="1" fontId="2" fillId="0" borderId="0" xfId="0" applyNumberFormat="1" applyFont="1"/>
    <xf numFmtId="49" fontId="2" fillId="0" borderId="0" xfId="0" applyNumberFormat="1" applyFont="1"/>
    <xf numFmtId="14" fontId="2" fillId="0" borderId="0" xfId="0" applyNumberFormat="1" applyFont="1" applyAlignment="1">
      <alignment horizontal="center" vertical="center"/>
    </xf>
    <xf numFmtId="167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nseignants_25-26.xlsx" TargetMode="External"/><Relationship Id="rId2" Type="http://schemas.openxmlformats.org/officeDocument/2006/relationships/externalLinkPath" Target="file:///E:\AMA\GRH\enseignants_25-26.xlsx" TargetMode="External"/><Relationship Id="rId1" Type="http://schemas.openxmlformats.org/officeDocument/2006/relationships/externalLinkPath" Target="/AMA/GRH/enseignants_25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eures-valorisées"/>
      <sheetName val="calcul-volume-horaire"/>
      <sheetName val="salaires"/>
      <sheetName val="DPAE"/>
      <sheetName val="Contrat"/>
      <sheetName val="Uniformation"/>
      <sheetName val="contacts"/>
      <sheetName val="impot"/>
      <sheetName val="CIAMT"/>
      <sheetName val="Mutuelle"/>
      <sheetName val="digiposte"/>
      <sheetName val="PLANNING"/>
      <sheetName val="INFOS AMA"/>
      <sheetName val="ENTRETIEN PROFESSIONNEL"/>
      <sheetName val="CALCUL-ETP"/>
      <sheetName val="social-paie"/>
    </sheetNames>
    <sheetDataSet>
      <sheetData sheetId="0"/>
      <sheetData sheetId="1">
        <row r="21">
          <cell r="B21">
            <v>34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23ED2-E7A2-4812-AE84-BB1F5C8B1980}">
  <dimension ref="A1:Z31"/>
  <sheetViews>
    <sheetView tabSelected="1" zoomScaleNormal="100" workbookViewId="0">
      <pane xSplit="5" ySplit="1" topLeftCell="J2" activePane="bottomRight" state="frozen"/>
      <selection pane="topRight" activeCell="U1" sqref="U1"/>
      <selection pane="bottomLeft" activeCell="A2" sqref="A2"/>
      <selection pane="bottomRight" activeCell="A12" sqref="A12"/>
    </sheetView>
  </sheetViews>
  <sheetFormatPr baseColWidth="10" defaultColWidth="11.42578125" defaultRowHeight="18.75" x14ac:dyDescent="0.3"/>
  <cols>
    <col min="1" max="1" width="11.42578125" style="14"/>
    <col min="2" max="2" width="11.5703125" style="14" bestFit="1" customWidth="1"/>
    <col min="3" max="3" width="13.28515625" style="14" bestFit="1" customWidth="1"/>
    <col min="4" max="4" width="21.28515625" style="14" bestFit="1" customWidth="1"/>
    <col min="5" max="5" width="15.28515625" style="14" bestFit="1" customWidth="1"/>
    <col min="6" max="6" width="21.85546875" style="14" bestFit="1" customWidth="1"/>
    <col min="7" max="7" width="8.28515625" style="16" bestFit="1" customWidth="1"/>
    <col min="8" max="8" width="14.5703125" style="14" bestFit="1" customWidth="1"/>
    <col min="9" max="9" width="21.28515625" style="20" bestFit="1" customWidth="1"/>
    <col min="10" max="10" width="29.7109375" style="14" bestFit="1" customWidth="1"/>
    <col min="11" max="11" width="13.7109375" style="14" bestFit="1" customWidth="1"/>
    <col min="12" max="12" width="22.28515625" style="21" bestFit="1" customWidth="1"/>
    <col min="13" max="13" width="21.5703125" style="14" bestFit="1" customWidth="1"/>
    <col min="14" max="14" width="12.42578125" style="14" bestFit="1" customWidth="1"/>
    <col min="15" max="15" width="17.85546875" style="14" bestFit="1" customWidth="1"/>
    <col min="16" max="16" width="16.7109375" style="14" bestFit="1" customWidth="1"/>
    <col min="17" max="17" width="9.28515625" style="14" bestFit="1" customWidth="1"/>
    <col min="18" max="18" width="29.28515625" style="14" bestFit="1" customWidth="1"/>
    <col min="19" max="19" width="9" style="14" bestFit="1" customWidth="1"/>
    <col min="20" max="20" width="7.85546875" style="14" bestFit="1" customWidth="1"/>
    <col min="21" max="21" width="16.85546875" style="14" bestFit="1" customWidth="1"/>
    <col min="22" max="22" width="12.7109375" style="14" bestFit="1" customWidth="1"/>
    <col min="23" max="23" width="17.42578125" style="14" bestFit="1" customWidth="1"/>
    <col min="24" max="24" width="24.42578125" style="14" bestFit="1" customWidth="1"/>
    <col min="25" max="25" width="8.85546875" style="14" bestFit="1" customWidth="1"/>
    <col min="26" max="26" width="6.28515625" style="14" bestFit="1" customWidth="1"/>
    <col min="27" max="16384" width="11.42578125" style="14"/>
  </cols>
  <sheetData>
    <row r="1" spans="1:26" s="5" customFormat="1" ht="50.25" customHeight="1" x14ac:dyDescent="0.25">
      <c r="A1" s="1" t="s">
        <v>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3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4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4" t="s">
        <v>24</v>
      </c>
    </row>
    <row r="2" spans="1:26" x14ac:dyDescent="0.3">
      <c r="A2" s="24">
        <v>19</v>
      </c>
      <c r="B2" s="6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7">
        <v>93300</v>
      </c>
      <c r="H2" s="7" t="s">
        <v>30</v>
      </c>
      <c r="I2" s="8">
        <v>29778</v>
      </c>
      <c r="J2" s="7" t="s">
        <v>31</v>
      </c>
      <c r="K2" s="7" t="s">
        <v>32</v>
      </c>
      <c r="L2" s="9" t="s">
        <v>33</v>
      </c>
      <c r="M2" s="7" t="s">
        <v>34</v>
      </c>
      <c r="N2" s="10">
        <v>45931</v>
      </c>
      <c r="O2" s="11">
        <v>45946</v>
      </c>
      <c r="P2" s="10">
        <v>46203</v>
      </c>
      <c r="Q2" s="9">
        <v>9</v>
      </c>
      <c r="R2" s="7" t="s">
        <v>35</v>
      </c>
      <c r="S2" s="7" t="s">
        <v>36</v>
      </c>
      <c r="T2" s="7">
        <v>350</v>
      </c>
      <c r="U2" s="12">
        <v>22</v>
      </c>
      <c r="V2" s="12">
        <v>95</v>
      </c>
      <c r="W2" s="13">
        <v>15.1328</v>
      </c>
      <c r="X2" s="12">
        <v>1437.616</v>
      </c>
      <c r="Y2" s="7" t="s">
        <v>37</v>
      </c>
      <c r="Z2" s="7">
        <v>0</v>
      </c>
    </row>
    <row r="3" spans="1:26" x14ac:dyDescent="0.3">
      <c r="A3" s="24">
        <v>5</v>
      </c>
      <c r="B3" s="6" t="s">
        <v>25</v>
      </c>
      <c r="C3" s="7" t="s">
        <v>38</v>
      </c>
      <c r="D3" s="7" t="s">
        <v>39</v>
      </c>
      <c r="E3" s="7" t="s">
        <v>40</v>
      </c>
      <c r="F3" s="7" t="s">
        <v>41</v>
      </c>
      <c r="G3" s="7">
        <v>93300</v>
      </c>
      <c r="H3" s="7" t="s">
        <v>30</v>
      </c>
      <c r="I3" s="8">
        <v>25108</v>
      </c>
      <c r="J3" s="7" t="s">
        <v>42</v>
      </c>
      <c r="K3" s="7" t="s">
        <v>43</v>
      </c>
      <c r="L3" s="9" t="s">
        <v>44</v>
      </c>
      <c r="M3" s="7" t="s">
        <v>34</v>
      </c>
      <c r="N3" s="10">
        <v>45931</v>
      </c>
      <c r="O3" s="11">
        <v>45946</v>
      </c>
      <c r="P3" s="10">
        <v>46203</v>
      </c>
      <c r="Q3" s="9">
        <v>9</v>
      </c>
      <c r="R3" s="7" t="s">
        <v>45</v>
      </c>
      <c r="S3" s="7">
        <v>2</v>
      </c>
      <c r="T3" s="7">
        <v>255</v>
      </c>
      <c r="U3" s="12">
        <v>12.5</v>
      </c>
      <c r="V3" s="12">
        <v>54</v>
      </c>
      <c r="W3" s="13">
        <v>12.4704</v>
      </c>
      <c r="X3" s="12">
        <v>673.40160000000003</v>
      </c>
      <c r="Y3" s="7" t="s">
        <v>37</v>
      </c>
      <c r="Z3" s="7">
        <v>0</v>
      </c>
    </row>
    <row r="4" spans="1:26" x14ac:dyDescent="0.3">
      <c r="A4" s="24">
        <v>16</v>
      </c>
      <c r="B4" s="15" t="s">
        <v>25</v>
      </c>
      <c r="C4" s="16" t="s">
        <v>46</v>
      </c>
      <c r="D4" s="7" t="s">
        <v>47</v>
      </c>
      <c r="E4" s="7" t="s">
        <v>48</v>
      </c>
      <c r="F4" s="7" t="s">
        <v>49</v>
      </c>
      <c r="G4" s="7">
        <v>93300</v>
      </c>
      <c r="H4" s="7" t="s">
        <v>30</v>
      </c>
      <c r="I4" s="8">
        <v>31792</v>
      </c>
      <c r="J4" s="7" t="s">
        <v>50</v>
      </c>
      <c r="K4" s="7" t="s">
        <v>51</v>
      </c>
      <c r="L4" s="9" t="s">
        <v>52</v>
      </c>
      <c r="M4" s="7" t="s">
        <v>34</v>
      </c>
      <c r="N4" s="10">
        <v>45931</v>
      </c>
      <c r="O4" s="11">
        <v>45946</v>
      </c>
      <c r="P4" s="10">
        <v>46203</v>
      </c>
      <c r="Q4" s="9">
        <v>9</v>
      </c>
      <c r="R4" s="7" t="s">
        <v>45</v>
      </c>
      <c r="S4" s="7">
        <v>2</v>
      </c>
      <c r="T4" s="7">
        <v>255</v>
      </c>
      <c r="U4" s="12">
        <v>9</v>
      </c>
      <c r="V4" s="12">
        <v>39</v>
      </c>
      <c r="W4" s="13">
        <v>12.4704</v>
      </c>
      <c r="X4" s="12">
        <v>486.34559999999999</v>
      </c>
      <c r="Y4" s="7" t="s">
        <v>37</v>
      </c>
      <c r="Z4" s="7">
        <v>0</v>
      </c>
    </row>
    <row r="5" spans="1:26" x14ac:dyDescent="0.3">
      <c r="A5" s="24">
        <v>2</v>
      </c>
      <c r="B5" s="6" t="s">
        <v>25</v>
      </c>
      <c r="C5" s="7" t="s">
        <v>53</v>
      </c>
      <c r="D5" s="7" t="s">
        <v>54</v>
      </c>
      <c r="E5" s="7" t="s">
        <v>55</v>
      </c>
      <c r="F5" s="7" t="s">
        <v>56</v>
      </c>
      <c r="G5" s="7">
        <v>93300</v>
      </c>
      <c r="H5" s="7" t="s">
        <v>30</v>
      </c>
      <c r="I5" s="8">
        <v>30839</v>
      </c>
      <c r="J5" s="17" t="s">
        <v>57</v>
      </c>
      <c r="K5" s="7" t="s">
        <v>32</v>
      </c>
      <c r="L5" s="9" t="s">
        <v>58</v>
      </c>
      <c r="M5" s="7" t="s">
        <v>34</v>
      </c>
      <c r="N5" s="10">
        <v>45931</v>
      </c>
      <c r="O5" s="11">
        <v>45946</v>
      </c>
      <c r="P5" s="10">
        <v>46203</v>
      </c>
      <c r="Q5" s="9">
        <v>9</v>
      </c>
      <c r="R5" s="7" t="s">
        <v>45</v>
      </c>
      <c r="S5" s="7">
        <v>2</v>
      </c>
      <c r="T5" s="7">
        <v>255</v>
      </c>
      <c r="U5" s="12">
        <v>11.5</v>
      </c>
      <c r="V5" s="12">
        <v>50</v>
      </c>
      <c r="W5" s="13">
        <v>12.4704</v>
      </c>
      <c r="X5" s="12">
        <v>623.52</v>
      </c>
      <c r="Y5" s="7" t="s">
        <v>37</v>
      </c>
      <c r="Z5" s="7">
        <v>0</v>
      </c>
    </row>
    <row r="6" spans="1:26" x14ac:dyDescent="0.3">
      <c r="A6" s="24">
        <v>20</v>
      </c>
      <c r="B6" s="6" t="s">
        <v>25</v>
      </c>
      <c r="C6" s="7" t="s">
        <v>59</v>
      </c>
      <c r="D6" s="7" t="s">
        <v>60</v>
      </c>
      <c r="E6" s="7" t="s">
        <v>61</v>
      </c>
      <c r="F6" s="7" t="s">
        <v>62</v>
      </c>
      <c r="G6" s="7">
        <v>93700</v>
      </c>
      <c r="H6" s="7" t="s">
        <v>63</v>
      </c>
      <c r="I6" s="8">
        <v>26959</v>
      </c>
      <c r="J6" s="7" t="s">
        <v>64</v>
      </c>
      <c r="K6" s="7" t="s">
        <v>32</v>
      </c>
      <c r="L6" s="9" t="s">
        <v>65</v>
      </c>
      <c r="M6" s="7" t="s">
        <v>34</v>
      </c>
      <c r="N6" s="10">
        <v>45931</v>
      </c>
      <c r="O6" s="11">
        <v>45946</v>
      </c>
      <c r="P6" s="10">
        <v>46203</v>
      </c>
      <c r="Q6" s="9">
        <v>9</v>
      </c>
      <c r="R6" s="7" t="s">
        <v>45</v>
      </c>
      <c r="S6" s="7">
        <v>2</v>
      </c>
      <c r="T6" s="7">
        <v>255</v>
      </c>
      <c r="U6" s="12">
        <v>18</v>
      </c>
      <c r="V6" s="12">
        <v>78</v>
      </c>
      <c r="W6" s="13">
        <v>12.4704</v>
      </c>
      <c r="X6" s="12">
        <v>972.69119999999998</v>
      </c>
      <c r="Y6" s="7" t="s">
        <v>37</v>
      </c>
      <c r="Z6" s="7">
        <v>0</v>
      </c>
    </row>
    <row r="7" spans="1:26" x14ac:dyDescent="0.3">
      <c r="A7" s="24">
        <v>22</v>
      </c>
      <c r="B7" s="6" t="s">
        <v>66</v>
      </c>
      <c r="C7" s="7" t="s">
        <v>67</v>
      </c>
      <c r="D7" s="7" t="s">
        <v>68</v>
      </c>
      <c r="E7" s="7" t="s">
        <v>69</v>
      </c>
      <c r="F7" s="7" t="s">
        <v>49</v>
      </c>
      <c r="G7" s="7">
        <v>93300</v>
      </c>
      <c r="H7" s="7" t="s">
        <v>30</v>
      </c>
      <c r="I7" s="8">
        <v>28125</v>
      </c>
      <c r="J7" s="7" t="s">
        <v>70</v>
      </c>
      <c r="K7" s="7" t="s">
        <v>32</v>
      </c>
      <c r="L7" s="9" t="s">
        <v>71</v>
      </c>
      <c r="M7" s="7" t="s">
        <v>34</v>
      </c>
      <c r="N7" s="10">
        <v>45931</v>
      </c>
      <c r="O7" s="11">
        <v>45946</v>
      </c>
      <c r="P7" s="10">
        <v>46203</v>
      </c>
      <c r="Q7" s="9">
        <v>9</v>
      </c>
      <c r="R7" s="7" t="s">
        <v>45</v>
      </c>
      <c r="S7" s="7">
        <v>2</v>
      </c>
      <c r="T7" s="7">
        <v>255</v>
      </c>
      <c r="U7" s="12">
        <v>9</v>
      </c>
      <c r="V7" s="12">
        <v>39</v>
      </c>
      <c r="W7" s="13">
        <v>12.4704</v>
      </c>
      <c r="X7" s="12">
        <v>486.34559999999999</v>
      </c>
      <c r="Y7" s="7" t="s">
        <v>37</v>
      </c>
      <c r="Z7" s="7">
        <v>0</v>
      </c>
    </row>
    <row r="8" spans="1:26" x14ac:dyDescent="0.3">
      <c r="A8" s="24">
        <v>17</v>
      </c>
      <c r="B8" s="6" t="s">
        <v>66</v>
      </c>
      <c r="C8" s="7" t="s">
        <v>72</v>
      </c>
      <c r="D8" s="18" t="s">
        <v>73</v>
      </c>
      <c r="E8" s="7" t="s">
        <v>74</v>
      </c>
      <c r="F8" s="7" t="s">
        <v>75</v>
      </c>
      <c r="G8" s="7">
        <v>93300</v>
      </c>
      <c r="H8" s="7" t="s">
        <v>30</v>
      </c>
      <c r="I8" s="8">
        <v>28065</v>
      </c>
      <c r="J8" s="7" t="s">
        <v>76</v>
      </c>
      <c r="K8" s="7" t="s">
        <v>77</v>
      </c>
      <c r="L8" s="9" t="s">
        <v>78</v>
      </c>
      <c r="M8" s="7" t="s">
        <v>34</v>
      </c>
      <c r="N8" s="10">
        <v>45931</v>
      </c>
      <c r="O8" s="11">
        <v>45946</v>
      </c>
      <c r="P8" s="10">
        <v>46203</v>
      </c>
      <c r="Q8" s="9">
        <v>9</v>
      </c>
      <c r="R8" s="7" t="s">
        <v>45</v>
      </c>
      <c r="S8" s="7">
        <v>2</v>
      </c>
      <c r="T8" s="7">
        <v>255</v>
      </c>
      <c r="U8" s="12">
        <v>12.5</v>
      </c>
      <c r="V8" s="12">
        <v>54</v>
      </c>
      <c r="W8" s="13">
        <v>12.4704</v>
      </c>
      <c r="X8" s="12">
        <v>673.40160000000003</v>
      </c>
      <c r="Y8" s="7" t="s">
        <v>37</v>
      </c>
      <c r="Z8" s="7">
        <v>0</v>
      </c>
    </row>
    <row r="9" spans="1:26" s="16" customFormat="1" x14ac:dyDescent="0.3">
      <c r="A9" s="24">
        <v>21</v>
      </c>
      <c r="B9" s="6" t="s">
        <v>66</v>
      </c>
      <c r="C9" s="7" t="s">
        <v>79</v>
      </c>
      <c r="D9" s="7" t="s">
        <v>80</v>
      </c>
      <c r="E9" s="7" t="s">
        <v>81</v>
      </c>
      <c r="F9" s="7" t="s">
        <v>82</v>
      </c>
      <c r="G9" s="7">
        <v>93300</v>
      </c>
      <c r="H9" s="7" t="s">
        <v>30</v>
      </c>
      <c r="I9" s="8">
        <v>29075</v>
      </c>
      <c r="J9" s="7" t="s">
        <v>83</v>
      </c>
      <c r="K9" s="7" t="s">
        <v>43</v>
      </c>
      <c r="L9" s="9" t="s">
        <v>84</v>
      </c>
      <c r="M9" s="7" t="s">
        <v>34</v>
      </c>
      <c r="N9" s="10">
        <v>45931</v>
      </c>
      <c r="O9" s="11">
        <v>45946</v>
      </c>
      <c r="P9" s="10">
        <v>46203</v>
      </c>
      <c r="Q9" s="9">
        <v>9</v>
      </c>
      <c r="R9" s="7" t="s">
        <v>45</v>
      </c>
      <c r="S9" s="7">
        <v>2</v>
      </c>
      <c r="T9" s="7">
        <v>255</v>
      </c>
      <c r="U9" s="12">
        <v>9</v>
      </c>
      <c r="V9" s="12">
        <v>39</v>
      </c>
      <c r="W9" s="13">
        <v>12.4704</v>
      </c>
      <c r="X9" s="12">
        <v>486.34559999999999</v>
      </c>
      <c r="Y9" s="7" t="s">
        <v>37</v>
      </c>
      <c r="Z9" s="7">
        <v>0</v>
      </c>
    </row>
    <row r="10" spans="1:26" s="16" customFormat="1" x14ac:dyDescent="0.3">
      <c r="A10" s="24">
        <v>23</v>
      </c>
      <c r="B10" s="6" t="s">
        <v>66</v>
      </c>
      <c r="C10" s="7" t="s">
        <v>85</v>
      </c>
      <c r="D10" s="7" t="s">
        <v>86</v>
      </c>
      <c r="E10" s="7" t="s">
        <v>87</v>
      </c>
      <c r="F10" s="7" t="s">
        <v>88</v>
      </c>
      <c r="G10" s="7">
        <v>93500</v>
      </c>
      <c r="H10" s="7" t="s">
        <v>89</v>
      </c>
      <c r="I10" s="8">
        <v>27033</v>
      </c>
      <c r="J10" s="7" t="s">
        <v>90</v>
      </c>
      <c r="K10" s="7" t="s">
        <v>51</v>
      </c>
      <c r="L10" s="9" t="s">
        <v>91</v>
      </c>
      <c r="M10" s="7" t="s">
        <v>34</v>
      </c>
      <c r="N10" s="10">
        <v>45931</v>
      </c>
      <c r="O10" s="11">
        <v>45946</v>
      </c>
      <c r="P10" s="10">
        <v>46203</v>
      </c>
      <c r="Q10" s="9">
        <v>9</v>
      </c>
      <c r="R10" s="7" t="s">
        <v>45</v>
      </c>
      <c r="S10" s="7">
        <v>2</v>
      </c>
      <c r="T10" s="7">
        <v>255</v>
      </c>
      <c r="U10" s="12">
        <v>12.5</v>
      </c>
      <c r="V10" s="12">
        <v>54</v>
      </c>
      <c r="W10" s="13">
        <v>12.4704</v>
      </c>
      <c r="X10" s="12">
        <v>673.40160000000003</v>
      </c>
      <c r="Y10" s="7" t="s">
        <v>37</v>
      </c>
      <c r="Z10" s="7">
        <v>0</v>
      </c>
    </row>
    <row r="11" spans="1:26" x14ac:dyDescent="0.3">
      <c r="A11" s="24">
        <v>24</v>
      </c>
      <c r="B11" s="6" t="s">
        <v>92</v>
      </c>
      <c r="C11" s="7" t="s">
        <v>93</v>
      </c>
      <c r="D11" s="7"/>
      <c r="E11" s="7" t="s">
        <v>94</v>
      </c>
      <c r="F11" s="7" t="s">
        <v>95</v>
      </c>
      <c r="G11" s="7">
        <v>93300</v>
      </c>
      <c r="H11" s="7" t="s">
        <v>30</v>
      </c>
      <c r="I11" s="8">
        <v>31670</v>
      </c>
      <c r="J11" s="7" t="s">
        <v>96</v>
      </c>
      <c r="K11" s="7" t="s">
        <v>43</v>
      </c>
      <c r="L11" s="9">
        <v>186099935255933</v>
      </c>
      <c r="M11" s="7" t="s">
        <v>34</v>
      </c>
      <c r="N11" s="10">
        <v>45931</v>
      </c>
      <c r="O11" s="11">
        <v>45946</v>
      </c>
      <c r="P11" s="10">
        <v>46203</v>
      </c>
      <c r="Q11" s="9">
        <v>12</v>
      </c>
      <c r="R11" s="7" t="s">
        <v>97</v>
      </c>
      <c r="S11" s="7" t="s">
        <v>98</v>
      </c>
      <c r="T11" s="7">
        <v>280</v>
      </c>
      <c r="U11" s="12">
        <v>10</v>
      </c>
      <c r="V11" s="12">
        <v>43</v>
      </c>
      <c r="W11" s="13">
        <v>13.357900000000001</v>
      </c>
      <c r="X11" s="12">
        <v>574.38970000000006</v>
      </c>
      <c r="Y11" s="7" t="s">
        <v>37</v>
      </c>
      <c r="Z11" s="7">
        <v>0</v>
      </c>
    </row>
    <row r="14" spans="1:26" x14ac:dyDescent="0.3">
      <c r="D14" s="19"/>
    </row>
    <row r="15" spans="1:26" x14ac:dyDescent="0.3">
      <c r="D15" s="22"/>
    </row>
    <row r="18" spans="3:19" x14ac:dyDescent="0.3">
      <c r="S18" s="21"/>
    </row>
    <row r="19" spans="3:19" x14ac:dyDescent="0.3">
      <c r="E19" s="20"/>
    </row>
    <row r="20" spans="3:19" x14ac:dyDescent="0.3">
      <c r="E20" s="20"/>
      <c r="H20" s="23"/>
      <c r="I20" s="23"/>
    </row>
    <row r="21" spans="3:19" x14ac:dyDescent="0.3">
      <c r="E21" s="20"/>
    </row>
    <row r="22" spans="3:19" x14ac:dyDescent="0.3">
      <c r="E22" s="20"/>
    </row>
    <row r="23" spans="3:19" x14ac:dyDescent="0.3">
      <c r="E23" s="20"/>
    </row>
    <row r="24" spans="3:19" x14ac:dyDescent="0.3">
      <c r="E24" s="20"/>
    </row>
    <row r="31" spans="3:19" x14ac:dyDescent="0.3">
      <c r="C31" s="14" t="str">
        <f>UPPER(C21)</f>
        <v/>
      </c>
      <c r="D31" s="14" t="str">
        <f>UPPER(D21)</f>
        <v/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DPAE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2025-09-24T13:14:20Z</dcterms:created>
  <dcterms:modified xsi:type="dcterms:W3CDTF">2026-05-01T15:23:21Z</dcterms:modified>
</cp:coreProperties>
</file>